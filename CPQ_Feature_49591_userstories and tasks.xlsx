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56" documentId="11_8B496932DE4D7D54B2CEFAA3AF5AD9ADAA741FD7" xr6:coauthVersionLast="47" xr6:coauthVersionMax="47" xr10:uidLastSave="{EB2B851E-2B83-42B7-84D5-36AA16DD6F19}"/>
  <bookViews>
    <workbookView xWindow="0" yWindow="0" windowWidth="0" windowHeight="0" xr2:uid="{00000000-000D-0000-FFFF-FFFF00000000}"/>
  </bookViews>
  <sheets>
    <sheet name="Structura arborescenta" sheetId="1" r:id="rId1"/>
    <sheet name="Sumar status" sheetId="2" r:id="rId2"/>
  </sheets>
  <definedNames>
    <definedName name="_xlnm._FilterDatabase" localSheetId="0" hidden="1">'Structura arborescenta'!$A$1:$F$55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B8" i="2"/>
  <c r="B7" i="2"/>
  <c r="B6" i="2"/>
  <c r="F5" i="2"/>
  <c r="B5" i="2"/>
  <c r="F4" i="2"/>
  <c r="B4" i="2"/>
  <c r="B9" i="2" l="1"/>
</calcChain>
</file>

<file path=xl/sharedStrings.xml><?xml version="1.0" encoding="utf-8"?>
<sst xmlns="http://schemas.openxmlformats.org/spreadsheetml/2006/main" count="194" uniqueCount="83">
  <si>
    <t>Nivel</t>
  </si>
  <si>
    <t>Tip item</t>
  </si>
  <si>
    <t>ID - Titlu</t>
  </si>
  <si>
    <t>Status</t>
  </si>
  <si>
    <t>Closure date</t>
  </si>
  <si>
    <t>Estimare</t>
  </si>
  <si>
    <t>Sprint</t>
  </si>
  <si>
    <t>User Story</t>
  </si>
  <si>
    <t>49879 - Chestionar: attach rules to questions, per-alias targets</t>
  </si>
  <si>
    <t>New</t>
  </si>
  <si>
    <t>Task</t>
  </si>
  <si>
    <t>49907 - Attached-rules group on question modals, enforcement per row</t>
  </si>
  <si>
    <t>50102 - Chestionar: authoring comfort and safety nets</t>
  </si>
  <si>
    <t>49909 - Admin dialog check: v3 delta on top of 47457/47458</t>
  </si>
  <si>
    <t>49918 - Authoring guide for Business</t>
  </si>
  <si>
    <t>49914 - Cart integration tests</t>
  </si>
  <si>
    <t>49905 - Flow fields and answers snapshot</t>
  </si>
  <si>
    <t>49910 - Graph validator</t>
  </si>
  <si>
    <t>49888 - Help texts on questions and answers</t>
  </si>
  <si>
    <t>49908 - Per-alias target mapping in the attached-rules row</t>
  </si>
  <si>
    <t>49920 - Rule builder accepts placeholder values</t>
  </si>
  <si>
    <t>49889 - Sections: metadata + Options grid column, sort and filter</t>
  </si>
  <si>
    <t>49893 - validate() per condition; reinstate the at-least-one-effect check</t>
  </si>
  <si>
    <t>49882 - Chestionar: baseline configuration on Pachet centrala termica, DEV rollout, DoD demo</t>
  </si>
  <si>
    <t>49915 - Characteristic data completion in DEV</t>
  </si>
  <si>
    <t>49917 - DEV rollout + DoD demonstration</t>
  </si>
  <si>
    <t>49916 - Question lines and rules on the package</t>
  </si>
  <si>
    <t>49881 - Chestionar: cart enforcement of mandatory rule attachments</t>
  </si>
  <si>
    <t>49913 - Override validateProductOptions: mandatory violations, hidden required questions, snapshot</t>
  </si>
  <si>
    <t>49912 - Spike: how the cart reaches the evaluator</t>
  </si>
  <si>
    <t>Closed</t>
  </si>
  <si>
    <t>49878 - Chestionar: configuration structure and evaluation endpoints</t>
  </si>
  <si>
    <t>49901 - ConfigurationEvaluationService (fixpoint)</t>
  </si>
  <si>
    <t>49902 - Evaluate endpoint, DTOs, hydration, gateway routes</t>
  </si>
  <si>
    <t>49904 - Integration tests through the browse flexpackage</t>
  </si>
  <si>
    <t>49903 - OpenAPI spec + contract examples (wizard and form)</t>
  </si>
  <si>
    <t>49906 - Structure endpoint with dependency graph</t>
  </si>
  <si>
    <t>49884 - Chestionar: graph generality extensions (quantityFrom, context alias)</t>
  </si>
  <si>
    <t>50103 - Chestionar: optional extensions</t>
  </si>
  <si>
    <t>49899 - Answer-level filtering: filterQuery on question lines</t>
  </si>
  <si>
    <t>49921 - quantityFrom on the selection effect</t>
  </si>
  <si>
    <t>49911 - Rule-side referential checks</t>
  </si>
  <si>
    <t>49887 - Spike: option templates for reuse across packages, ordering UX</t>
  </si>
  <si>
    <t>49875 - Chestionar: questions and answers as Cart Input options</t>
  </si>
  <si>
    <t>49885 - Admin metadata: question and answer fields on the Cart Input modal</t>
  </si>
  <si>
    <t>Sprint 17</t>
  </si>
  <si>
    <t>49886 - Read side: honour question and answer active flags, attributeName uniqueness validator</t>
  </si>
  <si>
    <t>49877 - Chestionar: rule effects - visibility, selection, set attributes, rule builder fields</t>
  </si>
  <si>
    <t>49895 - Effect fields + changeset + projection + validator</t>
  </si>
  <si>
    <t>49897 - Effect resolution service (LineEffectResolver with contributions)</t>
  </si>
  <si>
    <t>49922 - Implicit context alias in conditions</t>
  </si>
  <si>
    <t>49900 - Questions as Rule Builder fields (answer dropdowns)</t>
  </si>
  <si>
    <t>49898 - Admin rule form: conditions grid + effects group</t>
  </si>
  <si>
    <t>49876 - Chestionar: rule model v3 - answer conditions and compound conditions</t>
  </si>
  <si>
    <t>49891 - Attachment targets map + enforcement + validators</t>
  </si>
  <si>
    <t>49890 - Entity + projection + changeset for rule conditions</t>
  </si>
  <si>
    <t>49892 - Evaluator: SelectionContext, answer conditions, LineRef</t>
  </si>
  <si>
    <t>49894 - Numeric-aware compare for ENUM characteristic values</t>
  </si>
  <si>
    <t>49880 - Chestionar: save-time consistency validators</t>
  </si>
  <si>
    <t>49883 - Chestionar: value templating in filterQuery</t>
  </si>
  <si>
    <t>49919 - Placeholder substitution in filterQuery + validate()</t>
  </si>
  <si>
    <t>47460 - Rule versioning: Envers history + History section</t>
  </si>
  <si>
    <t>49491 - [UI] History section on the rule update view</t>
  </si>
  <si>
    <t>47461 - Envers recipe: @Audited entity + RevisionListener</t>
  </si>
  <si>
    <t>47463 - History endpoint on the rule CRUD controller</t>
  </si>
  <si>
    <t>47462 - Liquibase changesets for AUD + revision-info tables</t>
  </si>
  <si>
    <t>Total estimare</t>
  </si>
  <si>
    <t>Feature 49591 - [CPQ] Questionnaire &amp; Rules Configurator</t>
  </si>
  <si>
    <t>Indicator</t>
  </si>
  <si>
    <t>Valoare</t>
  </si>
  <si>
    <t>Observații</t>
  </si>
  <si>
    <t>Număr elemente</t>
  </si>
  <si>
    <t>Total User Stories</t>
  </si>
  <si>
    <t>Total Tasks</t>
  </si>
  <si>
    <t>Total elemente</t>
  </si>
  <si>
    <t>Stories și tasks</t>
  </si>
  <si>
    <t>Items Closed</t>
  </si>
  <si>
    <t>Items New</t>
  </si>
  <si>
    <t>Progres finalizare</t>
  </si>
  <si>
    <t>Closed / total elemente</t>
  </si>
  <si>
    <t>Notă</t>
  </si>
  <si>
    <t>Elementele fără status explicit în datele furnizate au fost marcate New.</t>
  </si>
  <si>
    <t>Data de închidere pentru elementele indicate Closed a fost setată la 31.08.2026.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</si>
</sst>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%"/>
    <numFmt numFmtId="166" formatCode="0.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5"/>
      <color rgb="FFFFFFFF"/>
      <name val="Calibri"/>
    </font>
    <font>
      <b/>
      <sz val="11"/>
      <color theme="1"/>
      <name val="Calibri"/>
      <family val="2"/>
      <scheme val="minor"/>
    </font>
    <font>
      <b/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5B9BD5"/>
      </patternFill>
    </fill>
    <fill>
      <patternFill patternType="solid">
        <fgColor rgb="FFDDEBF7"/>
        <bgColor indexed="64"/>
      </patternFill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164" fontId="0" fillId="3" borderId="0" xfId="0" applyNumberForma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1" fillId="6" borderId="0" xfId="0" applyFont="1" applyFill="1"/>
    <xf numFmtId="0" fontId="0" fillId="5" borderId="0" xfId="0" applyFill="1"/>
    <xf numFmtId="0" fontId="0" fillId="4" borderId="0" xfId="0" applyFill="1"/>
    <xf numFmtId="165" fontId="0" fillId="0" borderId="0" xfId="0" applyNumberFormat="1"/>
    <xf numFmtId="1" fontId="0" fillId="3" borderId="0" xfId="0" applyNumberFormat="1" applyFill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horizontal="center" wrapText="1"/>
    </xf>
    <xf numFmtId="0" fontId="2" fillId="0" borderId="0" xfId="1" applyAlignment="1">
      <alignment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wrapText="1"/>
    </xf>
    <xf numFmtId="0" fontId="4" fillId="7" borderId="0" xfId="0" applyFont="1" applyFill="1" applyAlignment="1">
      <alignment horizontal="center" vertical="top" wrapText="1"/>
    </xf>
    <xf numFmtId="1" fontId="4" fillId="0" borderId="0" xfId="0" applyNumberFormat="1" applyFont="1" applyAlignment="1">
      <alignment horizontal="left" vertical="top" wrapText="1"/>
    </xf>
    <xf numFmtId="166" fontId="0" fillId="3" borderId="0" xfId="0" applyNumberFormat="1" applyFill="1" applyAlignment="1">
      <alignment horizontal="center" vertical="top" wrapText="1"/>
    </xf>
    <xf numFmtId="166" fontId="0" fillId="0" borderId="0" xfId="0" applyNumberFormat="1" applyAlignment="1">
      <alignment horizontal="center" vertical="top" wrapText="1"/>
    </xf>
    <xf numFmtId="0" fontId="4" fillId="0" borderId="0" xfId="0" applyFont="1"/>
    <xf numFmtId="0" fontId="1" fillId="8" borderId="0" xfId="0" applyFont="1" applyFill="1" applyAlignment="1">
      <alignment horizontal="center"/>
    </xf>
    <xf numFmtId="0" fontId="0" fillId="7" borderId="0" xfId="0" applyFill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0" fontId="2" fillId="0" borderId="0" xfId="1" applyFill="1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16">
    <dxf>
      <numFmt numFmtId="1" formatCode="0"/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top" textRotation="0" wrapText="1" indent="0" justifyLastLine="0" shrinkToFit="0" readingOrder="0"/>
    </dxf>
    <dxf>
      <numFmt numFmtId="164" formatCode="dd\.mm\.yyyy"/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ill>
        <patternFill patternType="solid">
          <fgColor indexed="64"/>
          <bgColor rgb="FFDDEBF7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DEBF7"/>
        </patternFill>
      </fill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numFmt numFmtId="166" formatCode="0.0"/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Distribuția elementelor pe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'Sumar status'!F3</c:f>
              <c:strCache>
                <c:ptCount val="1"/>
                <c:pt idx="0">
                  <c:v>Număr elemente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'Sumar status'!$E$4:$E$5</c:f>
              <c:strCache>
                <c:ptCount val="2"/>
                <c:pt idx="0">
                  <c:v>Closed</c:v>
                </c:pt>
                <c:pt idx="1">
                  <c:v>New</c:v>
                </c:pt>
              </c:strCache>
            </c:strRef>
          </c:cat>
          <c:val>
            <c:numRef>
              <c:f>'Sumar status'!$F$4:$F$5</c:f>
              <c:numCache>
                <c:formatCode>General</c:formatCode>
                <c:ptCount val="2"/>
                <c:pt idx="0">
                  <c:v>3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0-4523-9232-2BA91FAAD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BF1D4-12A7-4CA5-B30F-A6877ED79C4C}" name="TblStructura" displayName="TblStructura" ref="A1:G56" totalsRowCount="1" headerRowDxfId="15" totalsRowDxfId="14">
  <autoFilter ref="A1:G55" xr:uid="{00000000-0009-0000-0000-000000000000}"/>
  <tableColumns count="7">
    <tableColumn id="1" xr3:uid="{152202CC-F599-48B7-85AF-A735D7B3F6C0}" name="Nivel" totalsRowLabel="Total estimare" dataDxfId="12" totalsRowDxfId="13"/>
    <tableColumn id="2" xr3:uid="{1AFA4203-2317-446F-A33E-7A0B307903E1}" name="Tip item" dataDxfId="10" totalsRowDxfId="11"/>
    <tableColumn id="3" xr3:uid="{043F6167-931A-4FC8-BFF7-24058AB192BE}" name="ID - Titlu" dataDxfId="8" totalsRowDxfId="9" dataCellStyle="Hyperlink"/>
    <tableColumn id="4" xr3:uid="{E3D4853B-545A-4996-951E-A127B0E3B801}" name="Status" dataDxfId="6" totalsRowDxfId="7"/>
    <tableColumn id="5" xr3:uid="{3D92677D-B619-4689-889E-02303180A698}" name="Closure date" dataDxfId="4" totalsRowDxfId="5"/>
    <tableColumn id="6" xr3:uid="{3BBDD861-E54F-4E43-B7D4-2D0A957561DA}" name="Estimare" totalsRowFunction="sum" dataDxfId="2" totalsRowDxfId="3"/>
    <tableColumn id="7" xr3:uid="{30ABE471-7E5A-470F-AE21-6E6BE1A92D6B}" name="Spri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.azure.com/EONRO/E.ON%20Sales%20Platform/_workitems/edit/49893" TargetMode="External"/><Relationship Id="rId18" Type="http://schemas.openxmlformats.org/officeDocument/2006/relationships/hyperlink" Target="https://dev.azure.com/EONRO/E.ON%20Sales%20Platform/_workitems/edit/49881" TargetMode="External"/><Relationship Id="rId26" Type="http://schemas.openxmlformats.org/officeDocument/2006/relationships/hyperlink" Target="https://dev.azure.com/EONRO/E.ON%20Sales%20Platform/_workitems/edit/49906" TargetMode="External"/><Relationship Id="rId39" Type="http://schemas.openxmlformats.org/officeDocument/2006/relationships/hyperlink" Target="https://dev.azure.com/EONRO/E.ON%20Sales%20Platform/_workitems/edit/49922" TargetMode="External"/><Relationship Id="rId21" Type="http://schemas.openxmlformats.org/officeDocument/2006/relationships/hyperlink" Target="https://dev.azure.com/EONRO/E.ON%20Sales%20Platform/_workitems/edit/49878" TargetMode="External"/><Relationship Id="rId34" Type="http://schemas.openxmlformats.org/officeDocument/2006/relationships/hyperlink" Target="https://dev.azure.com/EONRO/E.ON%20Sales%20Platform/_workitems/edit/49885" TargetMode="External"/><Relationship Id="rId42" Type="http://schemas.openxmlformats.org/officeDocument/2006/relationships/hyperlink" Target="https://dev.azure.com/EONRO/E.ON%20Sales%20Platform/_workitems/edit/49876" TargetMode="External"/><Relationship Id="rId47" Type="http://schemas.openxmlformats.org/officeDocument/2006/relationships/hyperlink" Target="https://dev.azure.com/EONRO/E.ON%20Sales%20Platform/_workitems/edit/49880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dev.azure.com/EONRO/E.ON%20Sales%20Platform/_workitems/edit/49905" TargetMode="External"/><Relationship Id="rId2" Type="http://schemas.openxmlformats.org/officeDocument/2006/relationships/hyperlink" Target="https://dev.azure.com/EONRO/E.ON%20Sales%20Platform/_workitems/edit/49907" TargetMode="External"/><Relationship Id="rId16" Type="http://schemas.openxmlformats.org/officeDocument/2006/relationships/hyperlink" Target="https://dev.azure.com/EONRO/E.ON%20Sales%20Platform/_workitems/edit/49917" TargetMode="External"/><Relationship Id="rId29" Type="http://schemas.openxmlformats.org/officeDocument/2006/relationships/hyperlink" Target="https://dev.azure.com/EONRO/E.ON%20Sales%20Platform/_workitems/edit/49899" TargetMode="External"/><Relationship Id="rId11" Type="http://schemas.openxmlformats.org/officeDocument/2006/relationships/hyperlink" Target="https://dev.azure.com/EONRO/E.ON%20Sales%20Platform/_workitems/edit/49920" TargetMode="External"/><Relationship Id="rId24" Type="http://schemas.openxmlformats.org/officeDocument/2006/relationships/hyperlink" Target="https://dev.azure.com/EONRO/E.ON%20Sales%20Platform/_workitems/edit/49904" TargetMode="External"/><Relationship Id="rId32" Type="http://schemas.openxmlformats.org/officeDocument/2006/relationships/hyperlink" Target="https://dev.azure.com/EONRO/E.ON%20Sales%20Platform/_workitems/edit/49887" TargetMode="External"/><Relationship Id="rId37" Type="http://schemas.openxmlformats.org/officeDocument/2006/relationships/hyperlink" Target="https://dev.azure.com/EONRO/E.ON%20Sales%20Platform/_workitems/edit/49895" TargetMode="External"/><Relationship Id="rId40" Type="http://schemas.openxmlformats.org/officeDocument/2006/relationships/hyperlink" Target="https://dev.azure.com/EONRO/E.ON%20Sales%20Platform/_workitems/edit/49900" TargetMode="External"/><Relationship Id="rId45" Type="http://schemas.openxmlformats.org/officeDocument/2006/relationships/hyperlink" Target="https://dev.azure.com/EONRO/E.ON%20Sales%20Platform/_workitems/edit/49892" TargetMode="External"/><Relationship Id="rId5" Type="http://schemas.openxmlformats.org/officeDocument/2006/relationships/hyperlink" Target="https://dev.azure.com/EONRO/E.ON%20Sales%20Platform/_workitems/edit/49918" TargetMode="External"/><Relationship Id="rId15" Type="http://schemas.openxmlformats.org/officeDocument/2006/relationships/hyperlink" Target="https://dev.azure.com/EONRO/E.ON%20Sales%20Platform/_workitems/edit/49915" TargetMode="External"/><Relationship Id="rId23" Type="http://schemas.openxmlformats.org/officeDocument/2006/relationships/hyperlink" Target="https://dev.azure.com/EONRO/E.ON%20Sales%20Platform/_workitems/edit/49902" TargetMode="External"/><Relationship Id="rId28" Type="http://schemas.openxmlformats.org/officeDocument/2006/relationships/hyperlink" Target="https://dev.azure.com/EONRO/E.ON%20Sales%20Platform/_workitems/edit/50103" TargetMode="External"/><Relationship Id="rId36" Type="http://schemas.openxmlformats.org/officeDocument/2006/relationships/hyperlink" Target="https://dev.azure.com/EONRO/E.ON%20Sales%20Platform/_workitems/edit/49877" TargetMode="External"/><Relationship Id="rId49" Type="http://schemas.openxmlformats.org/officeDocument/2006/relationships/hyperlink" Target="https://dev.azure.com/EONRO/E.ON%20Sales%20Platform/_workitems/edit/49919" TargetMode="External"/><Relationship Id="rId10" Type="http://schemas.openxmlformats.org/officeDocument/2006/relationships/hyperlink" Target="https://dev.azure.com/EONRO/E.ON%20Sales%20Platform/_workitems/edit/49908" TargetMode="External"/><Relationship Id="rId19" Type="http://schemas.openxmlformats.org/officeDocument/2006/relationships/hyperlink" Target="https://dev.azure.com/EONRO/E.ON%20Sales%20Platform/_workitems/edit/49913" TargetMode="External"/><Relationship Id="rId31" Type="http://schemas.openxmlformats.org/officeDocument/2006/relationships/hyperlink" Target="https://dev.azure.com/EONRO/E.ON%20Sales%20Platform/_workitems/edit/49911" TargetMode="External"/><Relationship Id="rId44" Type="http://schemas.openxmlformats.org/officeDocument/2006/relationships/hyperlink" Target="https://dev.azure.com/EONRO/E.ON%20Sales%20Platform/_workitems/edit/49890" TargetMode="External"/><Relationship Id="rId4" Type="http://schemas.openxmlformats.org/officeDocument/2006/relationships/hyperlink" Target="https://dev.azure.com/EONRO/E.ON%20Sales%20Platform/_workitems/edit/49909" TargetMode="External"/><Relationship Id="rId9" Type="http://schemas.openxmlformats.org/officeDocument/2006/relationships/hyperlink" Target="https://dev.azure.com/EONRO/E.ON%20Sales%20Platform/_workitems/edit/49888" TargetMode="External"/><Relationship Id="rId14" Type="http://schemas.openxmlformats.org/officeDocument/2006/relationships/hyperlink" Target="https://dev.azure.com/EONRO/E.ON%20Sales%20Platform/_workitems/edit/49882" TargetMode="External"/><Relationship Id="rId22" Type="http://schemas.openxmlformats.org/officeDocument/2006/relationships/hyperlink" Target="https://dev.azure.com/EONRO/E.ON%20Sales%20Platform/_workitems/edit/49901" TargetMode="External"/><Relationship Id="rId27" Type="http://schemas.openxmlformats.org/officeDocument/2006/relationships/hyperlink" Target="https://dev.azure.com/EONRO/E.ON%20Sales%20Platform/_workitems/edit/49884" TargetMode="External"/><Relationship Id="rId30" Type="http://schemas.openxmlformats.org/officeDocument/2006/relationships/hyperlink" Target="https://dev.azure.com/EONRO/E.ON%20Sales%20Platform/_workitems/edit/49921" TargetMode="External"/><Relationship Id="rId35" Type="http://schemas.openxmlformats.org/officeDocument/2006/relationships/hyperlink" Target="https://dev.azure.com/EONRO/E.ON%20Sales%20Platform/_workitems/edit/49886" TargetMode="External"/><Relationship Id="rId43" Type="http://schemas.openxmlformats.org/officeDocument/2006/relationships/hyperlink" Target="https://dev.azure.com/EONRO/E.ON%20Sales%20Platform/_workitems/edit/49891" TargetMode="External"/><Relationship Id="rId48" Type="http://schemas.openxmlformats.org/officeDocument/2006/relationships/hyperlink" Target="https://dev.azure.com/EONRO/E.ON%20Sales%20Platform/_workitems/edit/49883" TargetMode="External"/><Relationship Id="rId8" Type="http://schemas.openxmlformats.org/officeDocument/2006/relationships/hyperlink" Target="https://dev.azure.com/EONRO/E.ON%20Sales%20Platform/_workitems/edit/49910" TargetMode="External"/><Relationship Id="rId3" Type="http://schemas.openxmlformats.org/officeDocument/2006/relationships/hyperlink" Target="https://dev.azure.com/EONRO/E.ON%20Sales%20Platform/_workitems/edit/50102" TargetMode="External"/><Relationship Id="rId12" Type="http://schemas.openxmlformats.org/officeDocument/2006/relationships/hyperlink" Target="https://dev.azure.com/EONRO/E.ON%20Sales%20Platform/_workitems/edit/49889" TargetMode="External"/><Relationship Id="rId17" Type="http://schemas.openxmlformats.org/officeDocument/2006/relationships/hyperlink" Target="https://dev.azure.com/EONRO/E.ON%20Sales%20Platform/_workitems/edit/49916" TargetMode="External"/><Relationship Id="rId25" Type="http://schemas.openxmlformats.org/officeDocument/2006/relationships/hyperlink" Target="https://dev.azure.com/EONRO/E.ON%20Sales%20Platform/_workitems/edit/49903" TargetMode="External"/><Relationship Id="rId33" Type="http://schemas.openxmlformats.org/officeDocument/2006/relationships/hyperlink" Target="https://dev.azure.com/EONRO/E.ON%20Sales%20Platform/_workitems/edit/49875" TargetMode="External"/><Relationship Id="rId38" Type="http://schemas.openxmlformats.org/officeDocument/2006/relationships/hyperlink" Target="https://dev.azure.com/EONRO/E.ON%20Sales%20Platform/_workitems/edit/49897" TargetMode="External"/><Relationship Id="rId46" Type="http://schemas.openxmlformats.org/officeDocument/2006/relationships/hyperlink" Target="https://dev.azure.com/EONRO/E.ON%20Sales%20Platform/_workitems/edit/49894" TargetMode="External"/><Relationship Id="rId20" Type="http://schemas.openxmlformats.org/officeDocument/2006/relationships/hyperlink" Target="https://dev.azure.com/EONRO/E.ON%20Sales%20Platform/_workitems/edit/49912" TargetMode="External"/><Relationship Id="rId41" Type="http://schemas.openxmlformats.org/officeDocument/2006/relationships/hyperlink" Target="https://dev.azure.com/EONRO/E.ON%20Sales%20Platform/_workitems/edit/49898" TargetMode="External"/><Relationship Id="rId1" Type="http://schemas.openxmlformats.org/officeDocument/2006/relationships/hyperlink" Target="https://dev.azure.com/EONRO/E.ON%20Sales%20Platform/_workitems/edit/49879" TargetMode="External"/><Relationship Id="rId6" Type="http://schemas.openxmlformats.org/officeDocument/2006/relationships/hyperlink" Target="https://dev.azure.com/EONRO/E.ON%20Sales%20Platform/_workitems/edit/49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showGridLines="0" tabSelected="1" workbookViewId="0">
      <pane ySplit="1" topLeftCell="A43" activePane="bottomLeft" state="frozen"/>
      <selection pane="bottomLeft" activeCell="M34" sqref="M34"/>
    </sheetView>
  </sheetViews>
  <sheetFormatPr defaultRowHeight="15"/>
  <cols>
    <col min="1" max="1" width="10.42578125" customWidth="1"/>
    <col min="2" max="2" width="14.28515625" customWidth="1"/>
    <col min="3" max="3" width="55" customWidth="1"/>
    <col min="4" max="4" width="13.28515625" customWidth="1"/>
    <col min="5" max="5" width="45" customWidth="1"/>
    <col min="6" max="6" width="13.28515625" customWidth="1"/>
    <col min="7" max="7" width="8.7109375" bestFit="1" customWidth="1"/>
  </cols>
  <sheetData>
    <row r="1" spans="1:7">
      <c r="A1" s="1" t="s">
        <v>0</v>
      </c>
      <c r="B1" s="1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23" t="s">
        <v>6</v>
      </c>
    </row>
    <row r="2" spans="1:7" ht="32.25">
      <c r="A2" s="20">
        <v>1</v>
      </c>
      <c r="B2" s="2" t="s">
        <v>7</v>
      </c>
      <c r="C2" s="15" t="s">
        <v>8</v>
      </c>
      <c r="D2" s="3" t="s">
        <v>9</v>
      </c>
      <c r="E2" s="4"/>
      <c r="F2" s="12"/>
      <c r="G2" s="12"/>
    </row>
    <row r="3" spans="1:7" ht="32.25">
      <c r="A3" s="21">
        <v>1.1000000000000001</v>
      </c>
      <c r="B3" s="5" t="s">
        <v>10</v>
      </c>
      <c r="C3" s="15" t="s">
        <v>11</v>
      </c>
      <c r="D3" s="3" t="s">
        <v>9</v>
      </c>
      <c r="E3" s="6"/>
      <c r="F3" s="13">
        <v>3</v>
      </c>
      <c r="G3" s="13"/>
    </row>
    <row r="4" spans="1:7" ht="16.5">
      <c r="A4" s="20">
        <v>2</v>
      </c>
      <c r="B4" s="2" t="s">
        <v>7</v>
      </c>
      <c r="C4" s="15" t="s">
        <v>12</v>
      </c>
      <c r="D4" s="3" t="s">
        <v>9</v>
      </c>
      <c r="E4" s="4"/>
      <c r="F4" s="12"/>
      <c r="G4" s="12"/>
    </row>
    <row r="5" spans="1:7" ht="32.25">
      <c r="A5" s="21">
        <v>2.1</v>
      </c>
      <c r="B5" s="5" t="s">
        <v>10</v>
      </c>
      <c r="C5" s="15" t="s">
        <v>13</v>
      </c>
      <c r="D5" s="3" t="s">
        <v>9</v>
      </c>
      <c r="E5" s="6"/>
      <c r="F5" s="13">
        <v>2</v>
      </c>
      <c r="G5" s="13"/>
    </row>
    <row r="6" spans="1:7" ht="16.5">
      <c r="A6" s="21">
        <v>2.2000000000000002</v>
      </c>
      <c r="B6" s="5" t="s">
        <v>10</v>
      </c>
      <c r="C6" s="15" t="s">
        <v>14</v>
      </c>
      <c r="D6" s="3" t="s">
        <v>9</v>
      </c>
      <c r="E6" s="6"/>
      <c r="F6" s="13">
        <v>2</v>
      </c>
      <c r="G6" s="13"/>
    </row>
    <row r="7" spans="1:7" ht="16.5">
      <c r="A7" s="21">
        <v>2.2999999999999998</v>
      </c>
      <c r="B7" s="5" t="s">
        <v>10</v>
      </c>
      <c r="C7" s="15" t="s">
        <v>15</v>
      </c>
      <c r="D7" s="3" t="s">
        <v>9</v>
      </c>
      <c r="E7" s="6"/>
      <c r="F7" s="13">
        <v>2</v>
      </c>
      <c r="G7" s="13"/>
    </row>
    <row r="8" spans="1:7" ht="16.5">
      <c r="A8" s="21">
        <v>2.4</v>
      </c>
      <c r="B8" s="5" t="s">
        <v>10</v>
      </c>
      <c r="C8" s="15" t="s">
        <v>16</v>
      </c>
      <c r="D8" s="3" t="s">
        <v>9</v>
      </c>
      <c r="E8" s="6"/>
      <c r="F8" s="13">
        <v>3</v>
      </c>
      <c r="G8" s="13"/>
    </row>
    <row r="9" spans="1:7" ht="16.5">
      <c r="A9" s="21">
        <v>2.5</v>
      </c>
      <c r="B9" s="5" t="s">
        <v>10</v>
      </c>
      <c r="C9" s="15" t="s">
        <v>17</v>
      </c>
      <c r="D9" s="3" t="s">
        <v>9</v>
      </c>
      <c r="E9" s="6"/>
      <c r="F9" s="13">
        <v>3</v>
      </c>
      <c r="G9" s="13"/>
    </row>
    <row r="10" spans="1:7" ht="16.5">
      <c r="A10" s="21">
        <v>2.6</v>
      </c>
      <c r="B10" s="5" t="s">
        <v>10</v>
      </c>
      <c r="C10" s="15" t="s">
        <v>18</v>
      </c>
      <c r="D10" s="3" t="s">
        <v>9</v>
      </c>
      <c r="E10" s="6"/>
      <c r="F10" s="13">
        <v>1</v>
      </c>
      <c r="G10" s="13"/>
    </row>
    <row r="11" spans="1:7" ht="16.5">
      <c r="A11" s="21">
        <v>2.7</v>
      </c>
      <c r="B11" s="5" t="s">
        <v>10</v>
      </c>
      <c r="C11" s="15" t="s">
        <v>19</v>
      </c>
      <c r="D11" s="3" t="s">
        <v>9</v>
      </c>
      <c r="E11" s="6"/>
      <c r="F11" s="13">
        <v>3</v>
      </c>
      <c r="G11" s="13"/>
    </row>
    <row r="12" spans="1:7" ht="16.5">
      <c r="A12" s="21">
        <v>2.8</v>
      </c>
      <c r="B12" s="5" t="s">
        <v>10</v>
      </c>
      <c r="C12" s="15" t="s">
        <v>20</v>
      </c>
      <c r="D12" s="3" t="s">
        <v>9</v>
      </c>
      <c r="E12" s="6"/>
      <c r="F12" s="13">
        <v>2</v>
      </c>
      <c r="G12" s="13"/>
    </row>
    <row r="13" spans="1:7" ht="32.25">
      <c r="A13" s="21">
        <v>2.9</v>
      </c>
      <c r="B13" s="5" t="s">
        <v>10</v>
      </c>
      <c r="C13" s="15" t="s">
        <v>21</v>
      </c>
      <c r="D13" s="3" t="s">
        <v>9</v>
      </c>
      <c r="E13" s="6"/>
      <c r="F13" s="13">
        <v>3</v>
      </c>
      <c r="G13" s="13"/>
    </row>
    <row r="14" spans="1:7" ht="32.25">
      <c r="A14" s="21">
        <v>2.1</v>
      </c>
      <c r="B14" s="5" t="s">
        <v>10</v>
      </c>
      <c r="C14" s="15" t="s">
        <v>22</v>
      </c>
      <c r="D14" s="3" t="s">
        <v>9</v>
      </c>
      <c r="E14" s="6"/>
      <c r="F14" s="13">
        <v>2</v>
      </c>
      <c r="G14" s="13"/>
    </row>
    <row r="15" spans="1:7" ht="32.25">
      <c r="A15" s="20">
        <v>3</v>
      </c>
      <c r="B15" s="2" t="s">
        <v>7</v>
      </c>
      <c r="C15" s="15" t="s">
        <v>23</v>
      </c>
      <c r="D15" s="3" t="s">
        <v>9</v>
      </c>
      <c r="E15" s="4"/>
      <c r="F15" s="12"/>
      <c r="G15" s="12"/>
    </row>
    <row r="16" spans="1:7" ht="16.5">
      <c r="A16" s="21">
        <v>3.1</v>
      </c>
      <c r="B16" s="5" t="s">
        <v>10</v>
      </c>
      <c r="C16" s="15" t="s">
        <v>24</v>
      </c>
      <c r="D16" s="3" t="s">
        <v>9</v>
      </c>
      <c r="E16" s="6"/>
      <c r="F16" s="13">
        <v>1</v>
      </c>
      <c r="G16" s="13"/>
    </row>
    <row r="17" spans="1:7" ht="16.5">
      <c r="A17" s="21">
        <v>3.2</v>
      </c>
      <c r="B17" s="5" t="s">
        <v>10</v>
      </c>
      <c r="C17" s="15" t="s">
        <v>25</v>
      </c>
      <c r="D17" s="3" t="s">
        <v>9</v>
      </c>
      <c r="E17" s="6"/>
      <c r="F17" s="13">
        <v>2</v>
      </c>
      <c r="G17" s="13"/>
    </row>
    <row r="18" spans="1:7" ht="16.5">
      <c r="A18" s="21">
        <v>3.3</v>
      </c>
      <c r="B18" s="5" t="s">
        <v>10</v>
      </c>
      <c r="C18" s="15" t="s">
        <v>26</v>
      </c>
      <c r="D18" s="3" t="s">
        <v>9</v>
      </c>
      <c r="E18" s="6"/>
      <c r="F18" s="13">
        <v>2</v>
      </c>
      <c r="G18" s="13"/>
    </row>
    <row r="19" spans="1:7" ht="32.25">
      <c r="A19" s="20">
        <v>4</v>
      </c>
      <c r="B19" s="2" t="s">
        <v>7</v>
      </c>
      <c r="C19" s="15" t="s">
        <v>27</v>
      </c>
      <c r="D19" s="3" t="s">
        <v>9</v>
      </c>
      <c r="E19" s="4"/>
      <c r="F19" s="12"/>
      <c r="G19" s="12"/>
    </row>
    <row r="20" spans="1:7" ht="32.25">
      <c r="A20" s="21">
        <v>4.0999999999999996</v>
      </c>
      <c r="B20" s="5" t="s">
        <v>10</v>
      </c>
      <c r="C20" s="15" t="s">
        <v>28</v>
      </c>
      <c r="D20" s="3" t="s">
        <v>9</v>
      </c>
      <c r="E20" s="6"/>
      <c r="F20" s="13">
        <v>5</v>
      </c>
      <c r="G20" s="13"/>
    </row>
    <row r="21" spans="1:7" ht="16.5">
      <c r="A21" s="21">
        <v>4.2</v>
      </c>
      <c r="B21" s="5" t="s">
        <v>10</v>
      </c>
      <c r="C21" s="15" t="s">
        <v>29</v>
      </c>
      <c r="D21" s="7" t="s">
        <v>30</v>
      </c>
      <c r="E21" s="6">
        <v>46265</v>
      </c>
      <c r="F21" s="13"/>
      <c r="G21" s="13"/>
    </row>
    <row r="22" spans="1:7" ht="32.25">
      <c r="A22" s="20">
        <v>5</v>
      </c>
      <c r="B22" s="2" t="s">
        <v>7</v>
      </c>
      <c r="C22" s="15" t="s">
        <v>31</v>
      </c>
      <c r="D22" s="3" t="s">
        <v>9</v>
      </c>
      <c r="E22" s="4"/>
      <c r="F22" s="12"/>
      <c r="G22" s="12"/>
    </row>
    <row r="23" spans="1:7" ht="16.5">
      <c r="A23" s="21">
        <v>5.0999999999999996</v>
      </c>
      <c r="B23" s="5" t="s">
        <v>10</v>
      </c>
      <c r="C23" s="15" t="s">
        <v>32</v>
      </c>
      <c r="D23" s="3" t="s">
        <v>9</v>
      </c>
      <c r="E23" s="6"/>
      <c r="F23" s="13">
        <v>3</v>
      </c>
      <c r="G23" s="13"/>
    </row>
    <row r="24" spans="1:7" ht="32.25">
      <c r="A24" s="21">
        <v>5.2</v>
      </c>
      <c r="B24" s="5" t="s">
        <v>10</v>
      </c>
      <c r="C24" s="15" t="s">
        <v>33</v>
      </c>
      <c r="D24" s="3" t="s">
        <v>9</v>
      </c>
      <c r="E24" s="6"/>
      <c r="F24" s="13">
        <v>3</v>
      </c>
      <c r="G24" s="13"/>
    </row>
    <row r="25" spans="1:7" ht="16.5">
      <c r="A25" s="21">
        <v>5.3</v>
      </c>
      <c r="B25" s="5" t="s">
        <v>10</v>
      </c>
      <c r="C25" s="15" t="s">
        <v>34</v>
      </c>
      <c r="D25" s="3" t="s">
        <v>9</v>
      </c>
      <c r="E25" s="6"/>
      <c r="F25" s="13">
        <v>1</v>
      </c>
      <c r="G25" s="13"/>
    </row>
    <row r="26" spans="1:7" ht="32.25">
      <c r="A26" s="21">
        <v>5.4</v>
      </c>
      <c r="B26" s="5" t="s">
        <v>10</v>
      </c>
      <c r="C26" s="15" t="s">
        <v>35</v>
      </c>
      <c r="D26" s="3" t="s">
        <v>9</v>
      </c>
      <c r="E26" s="6"/>
      <c r="F26" s="13">
        <v>2</v>
      </c>
      <c r="G26" s="13"/>
    </row>
    <row r="27" spans="1:7" ht="16.5">
      <c r="A27" s="21">
        <v>5.5</v>
      </c>
      <c r="B27" s="5" t="s">
        <v>10</v>
      </c>
      <c r="C27" s="15" t="s">
        <v>36</v>
      </c>
      <c r="D27" s="3" t="s">
        <v>9</v>
      </c>
      <c r="E27" s="6"/>
      <c r="F27" s="13"/>
      <c r="G27" s="13"/>
    </row>
    <row r="28" spans="1:7" ht="32.25">
      <c r="A28" s="20">
        <v>6</v>
      </c>
      <c r="B28" s="2" t="s">
        <v>7</v>
      </c>
      <c r="C28" s="15" t="s">
        <v>37</v>
      </c>
      <c r="D28" s="7" t="s">
        <v>30</v>
      </c>
      <c r="E28" s="4">
        <v>46265</v>
      </c>
      <c r="F28" s="12"/>
      <c r="G28" s="12"/>
    </row>
    <row r="29" spans="1:7" ht="16.5">
      <c r="A29" s="20">
        <v>7</v>
      </c>
      <c r="B29" s="2" t="s">
        <v>7</v>
      </c>
      <c r="C29" s="15" t="s">
        <v>38</v>
      </c>
      <c r="D29" s="3" t="s">
        <v>9</v>
      </c>
      <c r="E29" s="4"/>
      <c r="F29" s="12"/>
      <c r="G29" s="12"/>
    </row>
    <row r="30" spans="1:7" ht="32.25">
      <c r="A30" s="21">
        <v>7.1</v>
      </c>
      <c r="B30" s="5" t="s">
        <v>10</v>
      </c>
      <c r="C30" s="15" t="s">
        <v>39</v>
      </c>
      <c r="D30" s="3" t="s">
        <v>9</v>
      </c>
      <c r="E30" s="6"/>
      <c r="F30" s="13">
        <v>4</v>
      </c>
      <c r="G30" s="13"/>
    </row>
    <row r="31" spans="1:7" ht="16.5">
      <c r="A31" s="21">
        <v>7.2</v>
      </c>
      <c r="B31" s="5" t="s">
        <v>10</v>
      </c>
      <c r="C31" s="15" t="s">
        <v>40</v>
      </c>
      <c r="D31" s="3" t="s">
        <v>9</v>
      </c>
      <c r="E31" s="6"/>
      <c r="F31" s="13">
        <v>3</v>
      </c>
      <c r="G31" s="13"/>
    </row>
    <row r="32" spans="1:7" ht="16.5">
      <c r="A32" s="21">
        <v>7.3</v>
      </c>
      <c r="B32" s="5" t="s">
        <v>10</v>
      </c>
      <c r="C32" s="15" t="s">
        <v>41</v>
      </c>
      <c r="D32" s="3" t="s">
        <v>9</v>
      </c>
      <c r="E32" s="6"/>
      <c r="F32" s="13">
        <v>2</v>
      </c>
      <c r="G32" s="13"/>
    </row>
    <row r="33" spans="1:7" ht="32.25">
      <c r="A33" s="21">
        <v>7.4</v>
      </c>
      <c r="B33" s="5" t="s">
        <v>10</v>
      </c>
      <c r="C33" s="15" t="s">
        <v>42</v>
      </c>
      <c r="D33" s="3" t="s">
        <v>9</v>
      </c>
      <c r="E33" s="6"/>
      <c r="F33" s="13">
        <v>2</v>
      </c>
      <c r="G33" s="13"/>
    </row>
    <row r="34" spans="1:7" ht="32.25">
      <c r="A34" s="20">
        <v>8</v>
      </c>
      <c r="B34" s="2" t="s">
        <v>7</v>
      </c>
      <c r="C34" s="15" t="s">
        <v>43</v>
      </c>
      <c r="D34" s="3" t="s">
        <v>9</v>
      </c>
      <c r="E34" s="4"/>
      <c r="F34" s="12"/>
      <c r="G34" s="12"/>
    </row>
    <row r="35" spans="1:7" ht="32.25">
      <c r="A35" s="21">
        <v>8.1</v>
      </c>
      <c r="B35" s="5" t="s">
        <v>10</v>
      </c>
      <c r="C35" s="15" t="s">
        <v>44</v>
      </c>
      <c r="D35" s="3" t="s">
        <v>9</v>
      </c>
      <c r="E35" s="6"/>
      <c r="F35" s="13">
        <v>3</v>
      </c>
      <c r="G35" s="13" t="s">
        <v>45</v>
      </c>
    </row>
    <row r="36" spans="1:7" ht="32.25">
      <c r="A36" s="21">
        <v>8.1999999999999993</v>
      </c>
      <c r="B36" s="5" t="s">
        <v>10</v>
      </c>
      <c r="C36" s="15" t="s">
        <v>46</v>
      </c>
      <c r="D36" s="3" t="s">
        <v>9</v>
      </c>
      <c r="E36" s="6"/>
      <c r="F36" s="13">
        <v>4</v>
      </c>
      <c r="G36" s="13"/>
    </row>
    <row r="37" spans="1:7" ht="32.25">
      <c r="A37" s="20">
        <v>9</v>
      </c>
      <c r="B37" s="2" t="s">
        <v>7</v>
      </c>
      <c r="C37" s="15" t="s">
        <v>47</v>
      </c>
      <c r="D37" s="3" t="s">
        <v>9</v>
      </c>
      <c r="E37" s="4"/>
      <c r="F37" s="12"/>
      <c r="G37" s="12"/>
    </row>
    <row r="38" spans="1:7" ht="30.75">
      <c r="A38" s="21">
        <v>9.1</v>
      </c>
      <c r="B38" s="5" t="s">
        <v>10</v>
      </c>
      <c r="C38" s="15" t="s">
        <v>48</v>
      </c>
      <c r="D38" s="3" t="s">
        <v>9</v>
      </c>
      <c r="E38" s="6"/>
      <c r="F38" s="13">
        <v>2</v>
      </c>
      <c r="G38" s="13" t="s">
        <v>45</v>
      </c>
    </row>
    <row r="39" spans="1:7" ht="32.25">
      <c r="A39" s="21">
        <v>9.1999999999999993</v>
      </c>
      <c r="B39" s="5" t="s">
        <v>10</v>
      </c>
      <c r="C39" s="15" t="s">
        <v>49</v>
      </c>
      <c r="D39" s="3" t="s">
        <v>9</v>
      </c>
      <c r="E39" s="6"/>
      <c r="F39" s="13">
        <v>3</v>
      </c>
      <c r="G39" s="13"/>
    </row>
    <row r="40" spans="1:7" ht="16.5">
      <c r="A40" s="21">
        <v>9.3000000000000007</v>
      </c>
      <c r="B40" s="5" t="s">
        <v>10</v>
      </c>
      <c r="C40" s="15" t="s">
        <v>50</v>
      </c>
      <c r="D40" s="3" t="s">
        <v>9</v>
      </c>
      <c r="E40" s="6"/>
      <c r="F40" s="13">
        <v>2</v>
      </c>
      <c r="G40" s="13"/>
    </row>
    <row r="41" spans="1:7" ht="32.25">
      <c r="A41" s="21">
        <v>9.4</v>
      </c>
      <c r="B41" s="5" t="s">
        <v>10</v>
      </c>
      <c r="C41" s="15" t="s">
        <v>51</v>
      </c>
      <c r="D41" s="3" t="s">
        <v>9</v>
      </c>
      <c r="E41" s="6"/>
      <c r="F41" s="13">
        <v>3</v>
      </c>
      <c r="G41" s="13"/>
    </row>
    <row r="42" spans="1:7" ht="16.5">
      <c r="A42" s="21">
        <v>9.5</v>
      </c>
      <c r="B42" s="5" t="s">
        <v>10</v>
      </c>
      <c r="C42" s="15" t="s">
        <v>52</v>
      </c>
      <c r="D42" s="3" t="s">
        <v>9</v>
      </c>
      <c r="E42" s="6"/>
      <c r="F42" s="13">
        <v>4</v>
      </c>
      <c r="G42" s="13"/>
    </row>
    <row r="43" spans="1:7" ht="32.25">
      <c r="A43" s="20">
        <v>10</v>
      </c>
      <c r="B43" s="2" t="s">
        <v>7</v>
      </c>
      <c r="C43" s="15" t="s">
        <v>53</v>
      </c>
      <c r="D43" s="3" t="s">
        <v>9</v>
      </c>
      <c r="E43" s="4"/>
      <c r="F43" s="12"/>
      <c r="G43" s="12"/>
    </row>
    <row r="44" spans="1:7" ht="32.25">
      <c r="A44" s="21">
        <v>10.1</v>
      </c>
      <c r="B44" s="5" t="s">
        <v>10</v>
      </c>
      <c r="C44" s="15" t="s">
        <v>54</v>
      </c>
      <c r="D44" s="3" t="s">
        <v>9</v>
      </c>
      <c r="E44" s="6"/>
      <c r="F44" s="13">
        <v>3</v>
      </c>
      <c r="G44" s="13" t="s">
        <v>45</v>
      </c>
    </row>
    <row r="45" spans="1:7" ht="16.5">
      <c r="A45" s="21">
        <v>10.199999999999999</v>
      </c>
      <c r="B45" s="5" t="s">
        <v>10</v>
      </c>
      <c r="C45" s="15" t="s">
        <v>55</v>
      </c>
      <c r="D45" s="3" t="s">
        <v>9</v>
      </c>
      <c r="E45" s="6"/>
      <c r="F45" s="13">
        <v>2</v>
      </c>
      <c r="G45" s="13"/>
    </row>
    <row r="46" spans="1:7" ht="32.25">
      <c r="A46" s="21">
        <v>10.3</v>
      </c>
      <c r="B46" s="5" t="s">
        <v>10</v>
      </c>
      <c r="C46" s="15" t="s">
        <v>56</v>
      </c>
      <c r="D46" s="3" t="s">
        <v>9</v>
      </c>
      <c r="E46" s="6"/>
      <c r="F46" s="13">
        <v>3</v>
      </c>
      <c r="G46" s="13" t="s">
        <v>45</v>
      </c>
    </row>
    <row r="47" spans="1:7" ht="32.25">
      <c r="A47" s="21">
        <v>10.4</v>
      </c>
      <c r="B47" s="5" t="s">
        <v>10</v>
      </c>
      <c r="C47" s="15" t="s">
        <v>57</v>
      </c>
      <c r="D47" s="3" t="s">
        <v>9</v>
      </c>
      <c r="E47" s="6"/>
      <c r="F47" s="13">
        <v>2</v>
      </c>
      <c r="G47" s="13" t="s">
        <v>45</v>
      </c>
    </row>
    <row r="48" spans="1:7" ht="16.5">
      <c r="A48" s="20">
        <v>11</v>
      </c>
      <c r="B48" s="2" t="s">
        <v>7</v>
      </c>
      <c r="C48" s="15" t="s">
        <v>58</v>
      </c>
      <c r="D48" s="7" t="s">
        <v>30</v>
      </c>
      <c r="E48" s="4">
        <v>46265</v>
      </c>
      <c r="F48" s="12"/>
      <c r="G48" s="12"/>
    </row>
    <row r="49" spans="1:7" ht="16.5">
      <c r="A49" s="20">
        <v>12</v>
      </c>
      <c r="B49" s="2" t="s">
        <v>7</v>
      </c>
      <c r="C49" s="15" t="s">
        <v>59</v>
      </c>
      <c r="D49" s="3" t="s">
        <v>9</v>
      </c>
      <c r="E49" s="4"/>
      <c r="F49" s="12"/>
      <c r="G49" s="12"/>
    </row>
    <row r="50" spans="1:7" ht="16.5">
      <c r="A50" s="21">
        <v>12.1</v>
      </c>
      <c r="B50" s="5" t="s">
        <v>10</v>
      </c>
      <c r="C50" s="15" t="s">
        <v>60</v>
      </c>
      <c r="D50" s="3" t="s">
        <v>9</v>
      </c>
      <c r="E50" s="6"/>
      <c r="F50" s="13">
        <v>4</v>
      </c>
      <c r="G50" s="13"/>
    </row>
    <row r="51" spans="1:7" ht="16.5">
      <c r="A51" s="21">
        <v>13</v>
      </c>
      <c r="B51" s="5" t="s">
        <v>7</v>
      </c>
      <c r="C51" s="15" t="s">
        <v>61</v>
      </c>
      <c r="D51" s="24" t="s">
        <v>9</v>
      </c>
      <c r="E51" s="6"/>
      <c r="F51" s="13"/>
      <c r="G51" s="13"/>
    </row>
    <row r="52" spans="1:7" ht="16.5">
      <c r="A52" s="21">
        <v>13.1</v>
      </c>
      <c r="B52" s="5" t="s">
        <v>10</v>
      </c>
      <c r="C52" s="26" t="s">
        <v>62</v>
      </c>
      <c r="D52" s="24" t="s">
        <v>9</v>
      </c>
      <c r="E52" s="6"/>
      <c r="F52" s="13"/>
      <c r="G52" s="13"/>
    </row>
    <row r="53" spans="1:7" ht="16.5">
      <c r="A53" s="21">
        <v>13.2</v>
      </c>
      <c r="B53" s="5" t="s">
        <v>10</v>
      </c>
      <c r="C53" s="26" t="s">
        <v>63</v>
      </c>
      <c r="D53" s="24" t="s">
        <v>9</v>
      </c>
      <c r="E53" s="6"/>
      <c r="F53" s="13"/>
      <c r="G53" s="13"/>
    </row>
    <row r="54" spans="1:7" ht="16.5">
      <c r="A54" s="21">
        <v>13.3</v>
      </c>
      <c r="B54" s="5" t="s">
        <v>10</v>
      </c>
      <c r="C54" s="26" t="s">
        <v>64</v>
      </c>
      <c r="D54" s="24" t="s">
        <v>9</v>
      </c>
      <c r="E54" s="6"/>
      <c r="F54" s="13"/>
      <c r="G54" s="13"/>
    </row>
    <row r="55" spans="1:7" ht="32.25">
      <c r="A55" s="21">
        <v>13.4</v>
      </c>
      <c r="B55" s="5" t="s">
        <v>10</v>
      </c>
      <c r="C55" s="26" t="s">
        <v>65</v>
      </c>
      <c r="D55" s="24" t="s">
        <v>9</v>
      </c>
      <c r="E55" s="6"/>
      <c r="F55" s="13"/>
      <c r="G55" s="13"/>
    </row>
    <row r="56" spans="1:7" ht="30.75">
      <c r="A56" s="16" t="s">
        <v>66</v>
      </c>
      <c r="B56" s="16"/>
      <c r="C56" s="17"/>
      <c r="D56" s="18"/>
      <c r="E56" s="16"/>
      <c r="F56" s="19">
        <f>SUBTOTAL(109,TblStructura[Estimare])</f>
        <v>91</v>
      </c>
      <c r="G56" s="22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</hyperlinks>
  <pageMargins left="0.75" right="0.75" top="1" bottom="1" header="0.5" footer="0.5"/>
  <tableParts count="1"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38" customWidth="1"/>
    <col min="4" max="4" width="4" customWidth="1"/>
    <col min="5" max="5" width="20" customWidth="1"/>
    <col min="6" max="6" width="16" customWidth="1"/>
  </cols>
  <sheetData>
    <row r="1" spans="1:6">
      <c r="A1" s="25" t="s">
        <v>67</v>
      </c>
      <c r="B1" s="27"/>
      <c r="C1" s="27"/>
      <c r="D1" s="27"/>
      <c r="E1" s="27"/>
      <c r="F1" s="27"/>
    </row>
    <row r="3" spans="1:6">
      <c r="A3" s="8" t="s">
        <v>68</v>
      </c>
      <c r="B3" s="8" t="s">
        <v>69</v>
      </c>
      <c r="C3" s="8" t="s">
        <v>70</v>
      </c>
      <c r="E3" s="8" t="s">
        <v>3</v>
      </c>
      <c r="F3" s="8" t="s">
        <v>71</v>
      </c>
    </row>
    <row r="4" spans="1:6">
      <c r="A4" t="s">
        <v>72</v>
      </c>
      <c r="B4">
        <f>COUNTIF('Structura arborescenta'!B:B,"User Story")</f>
        <v>13</v>
      </c>
      <c r="E4" s="9" t="s">
        <v>30</v>
      </c>
      <c r="F4">
        <f>COUNTIF('Structura arborescenta'!D:D,E4)</f>
        <v>3</v>
      </c>
    </row>
    <row r="5" spans="1:6">
      <c r="A5" t="s">
        <v>73</v>
      </c>
      <c r="B5">
        <f>COUNTIF('Structura arborescenta'!B:B,"Task")</f>
        <v>41</v>
      </c>
      <c r="E5" s="10" t="s">
        <v>9</v>
      </c>
      <c r="F5">
        <f>COUNTIF('Structura arborescenta'!D:D,E5)</f>
        <v>51</v>
      </c>
    </row>
    <row r="6" spans="1:6">
      <c r="A6" t="s">
        <v>74</v>
      </c>
      <c r="B6">
        <f>COUNTA('Structura arborescenta'!C:C)-1</f>
        <v>54</v>
      </c>
      <c r="C6" t="s">
        <v>75</v>
      </c>
    </row>
    <row r="7" spans="1:6">
      <c r="A7" t="s">
        <v>76</v>
      </c>
      <c r="B7">
        <f>COUNTIF('Structura arborescenta'!D:D,"Closed")</f>
        <v>3</v>
      </c>
    </row>
    <row r="8" spans="1:6">
      <c r="A8" t="s">
        <v>77</v>
      </c>
      <c r="B8">
        <f>COUNTIF('Structura arborescenta'!D:D,"New")</f>
        <v>51</v>
      </c>
    </row>
    <row r="9" spans="1:6">
      <c r="A9" t="s">
        <v>78</v>
      </c>
      <c r="B9" s="11">
        <f>IFERROR(B7/B6,0)</f>
        <v>5.5555555555555552E-2</v>
      </c>
      <c r="C9" t="s">
        <v>79</v>
      </c>
    </row>
    <row r="27" spans="1:1">
      <c r="A27" t="s">
        <v>80</v>
      </c>
    </row>
    <row r="28" spans="1:1">
      <c r="A28" t="s">
        <v>81</v>
      </c>
    </row>
    <row r="29" spans="1:1">
      <c r="A29" t="s">
        <v>82</v>
      </c>
    </row>
  </sheetData>
  <mergeCells count="1">
    <mergeCell ref="A1:F1"/>
  </mergeCell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42f063bf-ce3a-473c-8609-3866002c85b0}" enabled="1" method="Standard" siteId="{b914a242-e718-443b-a47c-6b4c649d8c0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Andreica, Luiza-Georgeta</dc:creator>
  <cp:keywords/>
  <dc:description/>
  <cp:lastModifiedBy>Andreica, Luiza-Georgeta</cp:lastModifiedBy>
  <cp:revision/>
  <dcterms:created xsi:type="dcterms:W3CDTF">2026-09-11T09:37:05Z</dcterms:created>
  <dcterms:modified xsi:type="dcterms:W3CDTF">2026-09-21T13:49:06Z</dcterms:modified>
  <cp:category/>
  <cp:contentStatus/>
</cp:coreProperties>
</file>